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asic-my.sharepoint.com/personal/hevelin_guerra_aluno_epsa_com_br/Documents/Projeto/"/>
    </mc:Choice>
  </mc:AlternateContent>
  <xr:revisionPtr revIDLastSave="52" documentId="8_{11BE78AF-2604-4098-9E69-60C39DA4ACCD}" xr6:coauthVersionLast="36" xr6:coauthVersionMax="36" xr10:uidLastSave="{50CB4D4D-AD9D-4CB3-9792-7A2640D655EB}"/>
  <bookViews>
    <workbookView xWindow="0" yWindow="0" windowWidth="20490" windowHeight="7425" xr2:uid="{83D2C9E1-0BF5-43BD-B656-8CB7D4D495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C14" i="1"/>
  <c r="J14" i="1"/>
  <c r="E14" i="1"/>
  <c r="I14" i="1" l="1"/>
  <c r="B14" i="1"/>
  <c r="E8" i="1"/>
  <c r="F8" i="1" s="1"/>
  <c r="E9" i="1"/>
  <c r="F9" i="1" s="1"/>
  <c r="E10" i="1"/>
  <c r="F10" i="1" s="1"/>
  <c r="E11" i="1"/>
  <c r="F11" i="1" s="1"/>
  <c r="N11" i="1" s="1"/>
  <c r="E12" i="1"/>
  <c r="F12" i="1" s="1"/>
  <c r="E13" i="1"/>
  <c r="L5" i="1"/>
  <c r="L6" i="1"/>
  <c r="L7" i="1"/>
  <c r="L8" i="1"/>
  <c r="L9" i="1"/>
  <c r="L10" i="1"/>
  <c r="L11" i="1"/>
  <c r="L12" i="1"/>
  <c r="L13" i="1"/>
  <c r="N13" i="1" s="1"/>
  <c r="L4" i="1"/>
  <c r="E5" i="1"/>
  <c r="F5" i="1" s="1"/>
  <c r="E6" i="1"/>
  <c r="F6" i="1" s="1"/>
  <c r="E7" i="1"/>
  <c r="F7" i="1" s="1"/>
  <c r="N7" i="1" s="1"/>
  <c r="E4" i="1"/>
  <c r="F4" i="1" s="1"/>
  <c r="N4" i="1" s="1"/>
  <c r="N14" i="1" l="1"/>
  <c r="L14" i="1"/>
  <c r="N10" i="1"/>
  <c r="N6" i="1"/>
  <c r="N9" i="1"/>
  <c r="N5" i="1"/>
  <c r="N12" i="1"/>
  <c r="N8" i="1"/>
</calcChain>
</file>

<file path=xl/sharedStrings.xml><?xml version="1.0" encoding="utf-8"?>
<sst xmlns="http://schemas.openxmlformats.org/spreadsheetml/2006/main" count="26" uniqueCount="18">
  <si>
    <t>GASTOS DO PROJETO</t>
  </si>
  <si>
    <t>Gastos Mensais</t>
  </si>
  <si>
    <t>Gastos iniciais</t>
  </si>
  <si>
    <t>Quantidade</t>
  </si>
  <si>
    <t>Estagiários</t>
  </si>
  <si>
    <t>Programadores (Júnior e Pleno)</t>
  </si>
  <si>
    <t>Computadores</t>
  </si>
  <si>
    <t>Notebooks</t>
  </si>
  <si>
    <t>Servidor/Cloud</t>
  </si>
  <si>
    <t>Celulares para teste</t>
  </si>
  <si>
    <t>Domínio</t>
  </si>
  <si>
    <t>Publicar na playstore</t>
  </si>
  <si>
    <t>TOTAL</t>
  </si>
  <si>
    <t>TOTAL ANUAL</t>
  </si>
  <si>
    <t>Renovação do domínio</t>
  </si>
  <si>
    <t>Gastos totais (anual + iniciais</t>
  </si>
  <si>
    <t>Marketing</t>
  </si>
  <si>
    <t>Gastos unitários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</si>
</sst>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B46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77C5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44" fontId="2" fillId="4" borderId="3" xfId="0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3" xfId="0" applyBorder="1"/>
    <xf numFmtId="164" fontId="0" fillId="7" borderId="1" xfId="0" applyNumberForma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0" fontId="0" fillId="0" borderId="6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4B77C5"/>
      <color rgb="FF9933FF"/>
      <color rgb="FFB46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6CAC-15BE-496B-A1A5-CCA9629F98DF}">
  <dimension ref="A1:O15"/>
  <sheetViews>
    <sheetView tabSelected="1" workbookViewId="0">
      <selection activeCell="J8" sqref="J8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15.42578125" bestFit="1" customWidth="1"/>
    <col min="4" max="4" width="3.7109375" customWidth="1"/>
    <col min="5" max="5" width="12.85546875" customWidth="1"/>
    <col min="6" max="6" width="14.28515625" bestFit="1" customWidth="1"/>
    <col min="7" max="7" width="4.42578125" customWidth="1"/>
    <col min="8" max="8" width="17.42578125" customWidth="1"/>
    <col min="9" max="9" width="11.42578125" bestFit="1" customWidth="1"/>
    <col min="10" max="10" width="15.42578125" bestFit="1" customWidth="1"/>
    <col min="11" max="11" width="2.7109375" customWidth="1"/>
    <col min="12" max="12" width="14.28515625" bestFit="1" customWidth="1"/>
    <col min="13" max="13" width="4.42578125" customWidth="1"/>
    <col min="14" max="14" width="27" bestFit="1" customWidth="1"/>
    <col min="15" max="15" width="10.140625" customWidth="1"/>
  </cols>
  <sheetData>
    <row r="1" spans="1:15" ht="35.25" customHeight="1" thickTop="1" x14ac:dyDescent="0.25">
      <c r="A1" s="27" t="s">
        <v>0</v>
      </c>
      <c r="B1" s="28"/>
      <c r="C1" s="28"/>
      <c r="D1" s="28"/>
      <c r="E1" s="28"/>
      <c r="F1" s="29"/>
      <c r="H1" s="34" t="s">
        <v>0</v>
      </c>
      <c r="I1" s="35"/>
      <c r="J1" s="35"/>
      <c r="K1" s="35"/>
      <c r="L1" s="36"/>
      <c r="N1" s="40" t="s">
        <v>0</v>
      </c>
      <c r="O1" s="41"/>
    </row>
    <row r="2" spans="1:15" ht="21.75" customHeight="1" x14ac:dyDescent="0.25">
      <c r="A2" s="30" t="s">
        <v>1</v>
      </c>
      <c r="B2" s="31"/>
      <c r="C2" s="31"/>
      <c r="D2" s="31"/>
      <c r="E2" s="31"/>
      <c r="F2" s="32"/>
      <c r="H2" s="37" t="s">
        <v>2</v>
      </c>
      <c r="I2" s="38"/>
      <c r="J2" s="38"/>
      <c r="K2" s="38"/>
      <c r="L2" s="39"/>
      <c r="N2" s="42" t="s">
        <v>15</v>
      </c>
      <c r="O2" s="43"/>
    </row>
    <row r="3" spans="1:15" ht="28.5" customHeight="1" x14ac:dyDescent="0.25">
      <c r="A3" s="2"/>
      <c r="B3" s="8" t="s">
        <v>3</v>
      </c>
      <c r="C3" s="8" t="s">
        <v>17</v>
      </c>
      <c r="D3" s="33"/>
      <c r="E3" s="17" t="s">
        <v>12</v>
      </c>
      <c r="F3" s="18" t="s">
        <v>13</v>
      </c>
      <c r="H3" s="7"/>
      <c r="I3" s="8" t="s">
        <v>3</v>
      </c>
      <c r="J3" s="8" t="s">
        <v>17</v>
      </c>
      <c r="K3" s="25"/>
      <c r="L3" s="9" t="s">
        <v>12</v>
      </c>
      <c r="N3" s="44" t="s">
        <v>12</v>
      </c>
      <c r="O3" s="45"/>
    </row>
    <row r="4" spans="1:15" ht="32.25" customHeight="1" x14ac:dyDescent="0.25">
      <c r="A4" s="14" t="s">
        <v>5</v>
      </c>
      <c r="B4" s="1">
        <v>2</v>
      </c>
      <c r="C4" s="3">
        <v>4250</v>
      </c>
      <c r="D4" s="33"/>
      <c r="E4" s="19">
        <f t="shared" ref="E4:E13" si="0">C4*B4</f>
        <v>8500</v>
      </c>
      <c r="F4" s="20">
        <f>E4*12</f>
        <v>102000</v>
      </c>
      <c r="H4" s="7" t="s">
        <v>6</v>
      </c>
      <c r="I4" s="1">
        <v>2</v>
      </c>
      <c r="J4" s="4">
        <v>5000</v>
      </c>
      <c r="K4" s="25"/>
      <c r="L4" s="12">
        <f>J4*I4</f>
        <v>10000</v>
      </c>
      <c r="N4" s="46">
        <f t="shared" ref="N4:N13" si="1">F4+L4</f>
        <v>112000</v>
      </c>
      <c r="O4" s="45"/>
    </row>
    <row r="5" spans="1:15" ht="19.5" customHeight="1" x14ac:dyDescent="0.25">
      <c r="A5" s="15" t="s">
        <v>4</v>
      </c>
      <c r="B5" s="1">
        <v>1</v>
      </c>
      <c r="C5" s="3">
        <v>1000</v>
      </c>
      <c r="D5" s="33"/>
      <c r="E5" s="19">
        <f t="shared" si="0"/>
        <v>1000</v>
      </c>
      <c r="F5" s="20">
        <f t="shared" ref="F5:F12" si="2">E5*12</f>
        <v>12000</v>
      </c>
      <c r="H5" s="7" t="s">
        <v>7</v>
      </c>
      <c r="I5" s="1">
        <v>1</v>
      </c>
      <c r="J5" s="4">
        <v>3500</v>
      </c>
      <c r="K5" s="25"/>
      <c r="L5" s="12">
        <f t="shared" ref="L5:L13" si="3">J5*I5</f>
        <v>3500</v>
      </c>
      <c r="N5" s="46">
        <f t="shared" si="1"/>
        <v>15500</v>
      </c>
      <c r="O5" s="45"/>
    </row>
    <row r="6" spans="1:15" ht="25.5" customHeight="1" x14ac:dyDescent="0.25">
      <c r="A6" s="15" t="s">
        <v>8</v>
      </c>
      <c r="B6" s="1">
        <v>1</v>
      </c>
      <c r="C6" s="3">
        <v>200</v>
      </c>
      <c r="D6" s="33"/>
      <c r="E6" s="19">
        <f t="shared" si="0"/>
        <v>200</v>
      </c>
      <c r="F6" s="20">
        <f t="shared" si="2"/>
        <v>2400</v>
      </c>
      <c r="H6" s="7" t="s">
        <v>10</v>
      </c>
      <c r="I6" s="1">
        <v>1</v>
      </c>
      <c r="J6" s="4">
        <v>200</v>
      </c>
      <c r="K6" s="25"/>
      <c r="L6" s="12">
        <f t="shared" si="3"/>
        <v>200</v>
      </c>
      <c r="N6" s="46">
        <f t="shared" si="1"/>
        <v>2600</v>
      </c>
      <c r="O6" s="45"/>
    </row>
    <row r="7" spans="1:15" ht="26.25" customHeight="1" x14ac:dyDescent="0.25">
      <c r="A7" s="15" t="s">
        <v>16</v>
      </c>
      <c r="B7" s="1">
        <v>1</v>
      </c>
      <c r="C7" s="3">
        <v>500</v>
      </c>
      <c r="D7" s="33"/>
      <c r="E7" s="19">
        <f t="shared" si="0"/>
        <v>500</v>
      </c>
      <c r="F7" s="20">
        <f t="shared" si="2"/>
        <v>6000</v>
      </c>
      <c r="H7" s="10" t="s">
        <v>9</v>
      </c>
      <c r="I7" s="1">
        <v>2</v>
      </c>
      <c r="J7" s="4">
        <v>900</v>
      </c>
      <c r="K7" s="25"/>
      <c r="L7" s="12">
        <f t="shared" si="3"/>
        <v>1800</v>
      </c>
      <c r="N7" s="46">
        <f t="shared" si="1"/>
        <v>7800</v>
      </c>
      <c r="O7" s="45"/>
    </row>
    <row r="8" spans="1:15" ht="30" x14ac:dyDescent="0.25">
      <c r="A8" s="15"/>
      <c r="B8" s="1"/>
      <c r="C8" s="3"/>
      <c r="D8" s="33"/>
      <c r="E8" s="19">
        <f t="shared" si="0"/>
        <v>0</v>
      </c>
      <c r="F8" s="20">
        <f t="shared" si="2"/>
        <v>0</v>
      </c>
      <c r="H8" s="10" t="s">
        <v>11</v>
      </c>
      <c r="I8" s="1">
        <v>1</v>
      </c>
      <c r="J8" s="4">
        <v>130</v>
      </c>
      <c r="K8" s="25"/>
      <c r="L8" s="12">
        <f t="shared" si="3"/>
        <v>130</v>
      </c>
      <c r="N8" s="46">
        <f t="shared" si="1"/>
        <v>130</v>
      </c>
      <c r="O8" s="45"/>
    </row>
    <row r="9" spans="1:15" x14ac:dyDescent="0.25">
      <c r="A9" s="15"/>
      <c r="B9" s="1"/>
      <c r="C9" s="3"/>
      <c r="D9" s="33"/>
      <c r="E9" s="19">
        <f t="shared" si="0"/>
        <v>0</v>
      </c>
      <c r="F9" s="20">
        <f t="shared" si="2"/>
        <v>0</v>
      </c>
      <c r="H9" s="7"/>
      <c r="I9" s="1"/>
      <c r="J9" s="4"/>
      <c r="K9" s="25"/>
      <c r="L9" s="12">
        <f t="shared" si="3"/>
        <v>0</v>
      </c>
      <c r="N9" s="46">
        <f t="shared" si="1"/>
        <v>0</v>
      </c>
      <c r="O9" s="45"/>
    </row>
    <row r="10" spans="1:15" x14ac:dyDescent="0.25">
      <c r="A10" s="15"/>
      <c r="B10" s="1"/>
      <c r="C10" s="3"/>
      <c r="D10" s="33"/>
      <c r="E10" s="19">
        <f t="shared" si="0"/>
        <v>0</v>
      </c>
      <c r="F10" s="20">
        <f t="shared" si="2"/>
        <v>0</v>
      </c>
      <c r="H10" s="7"/>
      <c r="I10" s="1"/>
      <c r="J10" s="4"/>
      <c r="K10" s="25"/>
      <c r="L10" s="12">
        <f t="shared" si="3"/>
        <v>0</v>
      </c>
      <c r="N10" s="46">
        <f t="shared" si="1"/>
        <v>0</v>
      </c>
      <c r="O10" s="45"/>
    </row>
    <row r="11" spans="1:15" x14ac:dyDescent="0.25">
      <c r="A11" s="15"/>
      <c r="B11" s="1"/>
      <c r="C11" s="3"/>
      <c r="D11" s="33"/>
      <c r="E11" s="19">
        <f t="shared" si="0"/>
        <v>0</v>
      </c>
      <c r="F11" s="20">
        <f t="shared" si="2"/>
        <v>0</v>
      </c>
      <c r="H11" s="7"/>
      <c r="I11" s="1"/>
      <c r="J11" s="4"/>
      <c r="K11" s="25"/>
      <c r="L11" s="12">
        <f t="shared" si="3"/>
        <v>0</v>
      </c>
      <c r="N11" s="46">
        <f t="shared" si="1"/>
        <v>0</v>
      </c>
      <c r="O11" s="45"/>
    </row>
    <row r="12" spans="1:15" x14ac:dyDescent="0.25">
      <c r="A12" s="15"/>
      <c r="B12" s="1"/>
      <c r="C12" s="3"/>
      <c r="D12" s="33"/>
      <c r="E12" s="19">
        <f t="shared" si="0"/>
        <v>0</v>
      </c>
      <c r="F12" s="20">
        <f t="shared" si="2"/>
        <v>0</v>
      </c>
      <c r="H12" s="7"/>
      <c r="I12" s="1"/>
      <c r="J12" s="4"/>
      <c r="K12" s="25"/>
      <c r="L12" s="12">
        <f t="shared" si="3"/>
        <v>0</v>
      </c>
      <c r="N12" s="46">
        <f t="shared" si="1"/>
        <v>0</v>
      </c>
      <c r="O12" s="45"/>
    </row>
    <row r="13" spans="1:15" ht="30" x14ac:dyDescent="0.25">
      <c r="A13" s="14" t="s">
        <v>14</v>
      </c>
      <c r="B13" s="1">
        <v>1</v>
      </c>
      <c r="C13" s="3">
        <v>0</v>
      </c>
      <c r="D13" s="33"/>
      <c r="E13" s="19">
        <f t="shared" si="0"/>
        <v>0</v>
      </c>
      <c r="F13" s="20">
        <v>70</v>
      </c>
      <c r="H13" s="7"/>
      <c r="I13" s="1"/>
      <c r="J13" s="4"/>
      <c r="K13" s="25"/>
      <c r="L13" s="12">
        <f t="shared" si="3"/>
        <v>0</v>
      </c>
      <c r="N13" s="46">
        <f t="shared" si="1"/>
        <v>70</v>
      </c>
      <c r="O13" s="45"/>
    </row>
    <row r="14" spans="1:15" ht="35.25" customHeight="1" thickBot="1" x14ac:dyDescent="0.3">
      <c r="A14" s="16" t="s">
        <v>12</v>
      </c>
      <c r="B14" s="5">
        <f>SUM(B4:B13)</f>
        <v>6</v>
      </c>
      <c r="C14" s="6">
        <f>SUM(C4:C13)</f>
        <v>5950</v>
      </c>
      <c r="D14" s="6"/>
      <c r="E14" s="21">
        <f>SUM(E4:E13)</f>
        <v>10200</v>
      </c>
      <c r="F14" s="22">
        <f>SUM(F4:F7,F13)</f>
        <v>122470</v>
      </c>
      <c r="H14" s="11" t="s">
        <v>12</v>
      </c>
      <c r="I14" s="24">
        <f>SUM(I4:I13)</f>
        <v>7</v>
      </c>
      <c r="J14" s="23">
        <f>SUM(J4:J13)</f>
        <v>9730</v>
      </c>
      <c r="K14" s="26"/>
      <c r="L14" s="13">
        <f>SUM(L4:L13)</f>
        <v>15630</v>
      </c>
      <c r="N14" s="47">
        <f>SUM(N4:N8,N13)</f>
        <v>138100</v>
      </c>
      <c r="O14" s="48"/>
    </row>
    <row r="15" spans="1:15" ht="15.75" thickTop="1" x14ac:dyDescent="0.25"/>
  </sheetData>
  <mergeCells count="8">
    <mergeCell ref="N1:O1"/>
    <mergeCell ref="N2:O2"/>
    <mergeCell ref="K3:K14"/>
    <mergeCell ref="A1:F1"/>
    <mergeCell ref="A2:F2"/>
    <mergeCell ref="D3:D13"/>
    <mergeCell ref="H1:L1"/>
    <mergeCell ref="H2:L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e460b3-358c-49a6-a235-b75f799126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EDF63564718A49B217627563F1BD04" ma:contentTypeVersion="10" ma:contentTypeDescription="Crie um novo documento." ma:contentTypeScope="" ma:versionID="810c1deb3696c289657fb66894c2a929">
  <xsd:schema xmlns:xsd="http://www.w3.org/2001/XMLSchema" xmlns:xs="http://www.w3.org/2001/XMLSchema" xmlns:p="http://schemas.microsoft.com/office/2006/metadata/properties" xmlns:ns3="06e460b3-358c-49a6-a235-b75f799126d4" targetNamespace="http://schemas.microsoft.com/office/2006/metadata/properties" ma:root="true" ma:fieldsID="6ccfbf89b6618daeb30ca6812e5fd09e" ns3:_="">
    <xsd:import namespace="06e460b3-358c-49a6-a235-b75f799126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460b3-358c-49a6-a235-b75f799126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8E555-70A8-481A-83A6-ADED75C9FFC5}">
  <ds:schemaRefs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06e460b3-358c-49a6-a235-b75f799126d4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5633FE8-60B6-450A-B05F-AC16EABD6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3828B-146A-4E1C-B596-0FE0BF392A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e460b3-358c-49a6-a235-b75f79912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HEVELIN DUARTE GUERRA</dc:creator>
  <cp:lastModifiedBy>HEVELIN DUARTE GUERRA</cp:lastModifiedBy>
  <dcterms:created xsi:type="dcterms:W3CDTF">2026-08-18T21:41:58Z</dcterms:created>
  <dcterms:modified xsi:type="dcterms:W3CDTF">2026-09-01T22:58:20Z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0x010100D9EDF63564718A49B217627563F1BD04</vt:lpwstr>
  </property>
</Properties>
</file>